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ject Data" sheetId="2" state="visible" r:id="rId4"/>
    <sheet name="Cost Variance" sheetId="3" state="visible" r:id="rId5"/>
    <sheet name="Workforce" sheetId="4" state="visible" r:id="rId6"/>
    <sheet name="Bid Simulator" sheetId="5" state="visible" r:id="rId7"/>
    <sheet name="Market Data" sheetId="6" state="visible" r:id="rId8"/>
    <sheet name="Notes &amp; 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<sst xmlns="http://schemas.openxmlformats.org/spreadsheetml/2006/main" count="128" uniqueCount="116">
  <si>
    <t xml:space="preserve">Construction Profit Intelligence Dashboard</t>
  </si>
  <si>
    <t xml:space="preserve">Portfolio demo — Canadian market context (Statistics Canada) + illustrative operational data. See 'Notes &amp; Sources'.</t>
  </si>
  <si>
    <t xml:space="preserve">TOTAL CONTRACT VALUE</t>
  </si>
  <si>
    <t xml:space="preserve">TOTAL ACTUAL COST</t>
  </si>
  <si>
    <t xml:space="preserve">GROSS PROFIT MARGIN</t>
  </si>
  <si>
    <t xml:space="preserve">COST VARIANCE</t>
  </si>
  <si>
    <t xml:space="preserve">PROJECTS AT RISK</t>
  </si>
  <si>
    <t xml:space="preserve">AVG BID MARGIN IMPACT</t>
  </si>
  <si>
    <t xml:space="preserve">Project Data</t>
  </si>
  <si>
    <t xml:space="preserve">Editable inputs = blue. Formulas = black. Update Contract/Budget/Actual to refresh the whole workbook.</t>
  </si>
  <si>
    <t xml:space="preserve">Project</t>
  </si>
  <si>
    <t xml:space="preserve">Contract Value</t>
  </si>
  <si>
    <t xml:space="preserve">Budgeted Cost</t>
  </si>
  <si>
    <t xml:space="preserve">Actual Cost</t>
  </si>
  <si>
    <t xml:space="preserve">Cost Variance $</t>
  </si>
  <si>
    <t xml:space="preserve">Cost Variance %</t>
  </si>
  <si>
    <t xml:space="preserve">Margin %</t>
  </si>
  <si>
    <t xml:space="preserve">Status</t>
  </si>
  <si>
    <t xml:space="preserve">Downtown Tower Renovation</t>
  </si>
  <si>
    <t xml:space="preserve">Riverside Office Fit-out</t>
  </si>
  <si>
    <t xml:space="preserve">Maple Residential Build</t>
  </si>
  <si>
    <t xml:space="preserve">Northgate Industrial Shell</t>
  </si>
  <si>
    <t xml:space="preserve">Harbourview Institutional</t>
  </si>
  <si>
    <t xml:space="preserve">Sunridge Multi-family</t>
  </si>
  <si>
    <t xml:space="preserve">TOTAL / PORTFOLIO</t>
  </si>
  <si>
    <t xml:space="preserve">Status Summary</t>
  </si>
  <si>
    <t xml:space="preserve">Good</t>
  </si>
  <si>
    <t xml:space="preserve">Watch</t>
  </si>
  <si>
    <t xml:space="preserve">At Risk</t>
  </si>
  <si>
    <t xml:space="preserve">Assumptions: Contract Value, Budgeted Cost and Actual Cost are illustrative sample figures for this demo portfolio (not a real company's financials). Status thresholds: Margin &lt;15% = At Risk, 15–18% = Watch, &gt;=18% = Good.</t>
  </si>
  <si>
    <t xml:space="preserve">Cost Variance Analysis</t>
  </si>
  <si>
    <t xml:space="preserve">Budgeted vs actual cost by category. Drives the margin-impact figure on the Dashboard.</t>
  </si>
  <si>
    <t xml:space="preserve">Category</t>
  </si>
  <si>
    <t xml:space="preserve">Budgeted $</t>
  </si>
  <si>
    <t xml:space="preserve">Actual $</t>
  </si>
  <si>
    <t xml:space="preserve">Variance $</t>
  </si>
  <si>
    <t xml:space="preserve">Variance %</t>
  </si>
  <si>
    <t xml:space="preserve">Materials</t>
  </si>
  <si>
    <t xml:space="preserve">Labour</t>
  </si>
  <si>
    <t xml:space="preserve">Equipment</t>
  </si>
  <si>
    <t xml:space="preserve">Subcontractors</t>
  </si>
  <si>
    <t xml:space="preserve">TOTAL</t>
  </si>
  <si>
    <t xml:space="preserve">Cost overrun of this magnitude, concentrated in materials, is the leading driver of the portfolio's margin gap versus original bids. Category % increases reflect reported 2025-2026 input-cost pressure (steel tariffs, skilled-labour shortages); dollar figures are illustrative for this sample portfolio.</t>
  </si>
  <si>
    <t xml:space="preserve">Workforce Efficiency</t>
  </si>
  <si>
    <t xml:space="preserve">Planned vs actual labour hours, current quarter (illustrative sample data).</t>
  </si>
  <si>
    <t xml:space="preserve">Week</t>
  </si>
  <si>
    <t xml:space="preserve">Planned Hours</t>
  </si>
  <si>
    <t xml:space="preserve">Actual Hours</t>
  </si>
  <si>
    <t xml:space="preserve">Metric</t>
  </si>
  <si>
    <t xml:space="preserve">Value</t>
  </si>
  <si>
    <t xml:space="preserve">Wk 1</t>
  </si>
  <si>
    <t xml:space="preserve">Budgeted cost / hour</t>
  </si>
  <si>
    <t xml:space="preserve">Wk 2</t>
  </si>
  <si>
    <t xml:space="preserve">Actual cost / hour</t>
  </si>
  <si>
    <t xml:space="preserve">Wk 3</t>
  </si>
  <si>
    <t xml:space="preserve">Cost / hour variance</t>
  </si>
  <si>
    <t xml:space="preserve">Wk 4</t>
  </si>
  <si>
    <t xml:space="preserve">Overtime hours (sample)</t>
  </si>
  <si>
    <t xml:space="preserve">Wk 5</t>
  </si>
  <si>
    <t xml:space="preserve">Overtime % of actual hours</t>
  </si>
  <si>
    <t xml:space="preserve">Wk 6</t>
  </si>
  <si>
    <t xml:space="preserve">Overtime target</t>
  </si>
  <si>
    <t xml:space="preserve">Overtime running above the 10% target and cost-per-hour up versus budget point to crew-scheduling review ahead of the next bid cycle. All figures are illustrative sample data.</t>
  </si>
  <si>
    <t xml:space="preserve">Index (Wk1=101)</t>
  </si>
  <si>
    <t xml:space="preserve">Bid Decision Simulator</t>
  </si>
  <si>
    <t xml:space="preserve">Change the yellow cell (steel/material cost increase %) and every output recalculates live.</t>
  </si>
  <si>
    <t xml:space="preserve">Contract value</t>
  </si>
  <si>
    <t xml:space="preserve">Estimated cost (base bid)</t>
  </si>
  <si>
    <t xml:space="preserve">Baseline margin</t>
  </si>
  <si>
    <t xml:space="preserve">Cost impact per 1% material increase</t>
  </si>
  <si>
    <t xml:space="preserve">Steel / material cost increase %</t>
  </si>
  <si>
    <t xml:space="preserve">New projected cost</t>
  </si>
  <si>
    <t xml:space="preserve">New projected margin</t>
  </si>
  <si>
    <t xml:space="preserve">Margin drop (points)</t>
  </si>
  <si>
    <t xml:space="preserve">Contract value needed to protect baseline margin</t>
  </si>
  <si>
    <t xml:space="preserve">Recommended bid increase %</t>
  </si>
  <si>
    <t xml:space="preserve">Recommendation</t>
  </si>
  <si>
    <t xml:space="preserve">Model: additional cost = (steel/material increase %) x (cost impact per 1% assumption). Calibrated so a 10% steel cost increase moves margin from 16.0% to 12.0% - consistent with the example used to size the cost-impact assumption. Contract value and base cost are illustrative.</t>
  </si>
  <si>
    <t xml:space="preserve">Market Data (External)</t>
  </si>
  <si>
    <t xml:space="preserve">Statistics Canada — Building Construction Price Index &amp; Building Permits. Reference only; not company data.</t>
  </si>
  <si>
    <t xml:space="preserve">Quarter</t>
  </si>
  <si>
    <t xml:space="preserve">Residential BCPI</t>
  </si>
  <si>
    <t xml:space="preserve">Non-Residential BCPI</t>
  </si>
  <si>
    <t xml:space="preserve">Q3 '25</t>
  </si>
  <si>
    <t xml:space="preserve">Q4 '25</t>
  </si>
  <si>
    <t xml:space="preserve">Q1 '26</t>
  </si>
  <si>
    <t xml:space="preserve">Q2 '26</t>
  </si>
  <si>
    <t xml:space="preserve">Source: Statistics Canada, Building Construction Price Indexes (The Daily). Q1-Q2 2026 quarterly % changes as reported; base 2023=100, earlier quarters modeled for trend continuity.</t>
  </si>
  <si>
    <t xml:space="preserve">Region</t>
  </si>
  <si>
    <t xml:space="preserve">Permit Value Growth 2024→2025</t>
  </si>
  <si>
    <t xml:space="preserve">Atlantic</t>
  </si>
  <si>
    <t xml:space="preserve">Prairie</t>
  </si>
  <si>
    <t xml:space="preserve">Ontario</t>
  </si>
  <si>
    <t xml:space="preserve">Quebec</t>
  </si>
  <si>
    <t xml:space="preserve">B.C.</t>
  </si>
  <si>
    <t xml:space="preserve">Source: Statistics Canada, Building Permits by province/region. Atlantic and Prairie figures as reported (fastest-growing markets); Ontario/Quebec/B.C. modeled from monthly permit-value releases for comparison.</t>
  </si>
  <si>
    <t xml:space="preserve">Notes &amp; Data Sources</t>
  </si>
  <si>
    <t xml:space="preserve">Read this before presenting the workbook.</t>
  </si>
  <si>
    <t xml:space="preserve">External Market Data</t>
  </si>
  <si>
    <t xml:space="preserve">Statistics Canada</t>
  </si>
  <si>
    <t xml:space="preserve">Building Construction Price Indexes (BCPI) - residential &amp; non-residential, quarterly.</t>
  </si>
  <si>
    <t xml:space="preserve">Building Permits - value by province/region.</t>
  </si>
  <si>
    <t xml:space="preserve">Demo Operational Data (illustrative)</t>
  </si>
  <si>
    <t xml:space="preserve">Contract values, budgeted/actual costs and margins - sample portfolio, not a real company's books.</t>
  </si>
  <si>
    <t xml:space="preserve">Cost Variance</t>
  </si>
  <si>
    <t xml:space="preserve">Category budgets/actuals - illustrative, calibrated to reported 2025-2026 cost-pressure ranges.</t>
  </si>
  <si>
    <t xml:space="preserve">Workforce</t>
  </si>
  <si>
    <t xml:space="preserve">Labour hours, cost/hour and productivity index - illustrative sample data.</t>
  </si>
  <si>
    <t xml:space="preserve">Bid Simulator</t>
  </si>
  <si>
    <t xml:space="preserve">Contract/cost assumptions and cost-impact-per-1% figure - illustrative; freely editable.</t>
  </si>
  <si>
    <t xml:space="preserve">How to use this workbook</t>
  </si>
  <si>
    <t xml:space="preserve">Project Data / Cost Variance / Workforce</t>
  </si>
  <si>
    <t xml:space="preserve">Blue cells are inputs - overwrite with real figures and every formula, conditional format and chart on the Dashboard updates automatically.</t>
  </si>
  <si>
    <t xml:space="preserve">Change the yellow lever cell (steel/material cost increase %) to stress-test a bid before signing.</t>
  </si>
  <si>
    <t xml:space="preserve">Dashboard</t>
  </si>
  <si>
    <t xml:space="preserve">Pulls only from formulas on the other tabs - never edit it directly.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</si>
</sst>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%"/>
    <numFmt numFmtId="167" formatCode="\+0.0%;\-0.0%"/>
    <numFmt numFmtId="168" formatCode="0"/>
    <numFmt numFmtId="169" formatCode="\$#,##0,\K"/>
    <numFmt numFmtId="170" formatCode="0%"/>
    <numFmt numFmtId="171" formatCode="\$#,##0;&quot;($&quot;#,##0\);\-"/>
    <numFmt numFmtId="172" formatCode="General"/>
    <numFmt numFmtId="173" formatCode="#,##0"/>
    <numFmt numFmtId="174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A1C33"/>
      <name val="Arial"/>
      <family val="0"/>
      <charset val="1"/>
    </font>
    <font>
      <i val="true"/>
      <sz val="10"/>
      <color rgb="FF6B7A90"/>
      <name val="Arial"/>
      <family val="0"/>
      <charset val="1"/>
    </font>
    <font>
      <b val="true"/>
      <sz val="9"/>
      <color rgb="FF6B7A9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0A1C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A1C33"/>
      <name val="Arial"/>
      <family val="0"/>
      <charset val="1"/>
    </font>
    <font>
      <i val="true"/>
      <sz val="8"/>
      <color rgb="FF6B7A9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0A1C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2947"/>
        <bgColor rgb="FF0A1C33"/>
      </patternFill>
    </fill>
    <fill>
      <patternFill patternType="solid">
        <fgColor rgb="FFF4F7FA"/>
        <bgColor rgb="FFFFFFFF"/>
      </patternFill>
    </fill>
    <fill>
      <patternFill patternType="solid">
        <fgColor rgb="FFFFF2A8"/>
        <bgColor rgb="FFFBEBC7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ck">
        <color rgb="FFFF6A2B"/>
      </top>
      <bottom/>
      <diagonal/>
    </border>
    <border diagonalUp="false" diagonalDown="false">
      <left/>
      <right/>
      <top/>
      <bottom style="thin">
        <color rgb="FFD6DEE6"/>
      </bottom>
      <diagonal/>
    </border>
    <border diagonalUp="false" diagonalDown="false">
      <left style="thin">
        <color rgb="FFD6DEE6"/>
      </left>
      <right style="thin">
        <color rgb="FFD6DEE6"/>
      </right>
      <top style="thin">
        <color rgb="FFD6DEE6"/>
      </top>
      <bottom style="thin">
        <color rgb="FFD6DEE6"/>
      </bottom>
      <diagonal/>
    </border>
    <border diagonalUp="false" diagonalDown="false">
      <left/>
      <right/>
      <top style="double">
        <color rgb="FF0F294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C0392B"/>
        <sz val="20"/>
      </font>
    </dxf>
    <dxf>
      <font>
        <b val="1"/>
        <color rgb="FF2E8B57"/>
      </font>
      <fill>
        <patternFill>
          <bgColor rgb="FFD9F2E3"/>
        </patternFill>
      </fill>
    </dxf>
    <dxf>
      <font>
        <b val="1"/>
        <color rgb="FFB8860B"/>
      </font>
      <fill>
        <patternFill>
          <bgColor rgb="FFFBEBC7"/>
        </patternFill>
      </fill>
    </dxf>
    <dxf>
      <font>
        <b val="1"/>
        <color rgb="FFC0392B"/>
      </font>
      <fill>
        <patternFill>
          <bgColor rgb="FFFBDCD8"/>
        </patternFill>
      </fill>
    </dxf>
    <dxf>
      <fill>
        <patternFill>
          <bgColor rgb="FFD9F2E3"/>
        </patternFill>
      </fill>
    </dxf>
    <dxf>
      <fill>
        <patternFill>
          <bgColor rgb="FFFBEBC7"/>
        </patternFill>
      </fill>
    </dxf>
    <dxf>
      <fill>
        <patternFill>
          <bgColor rgb="FFFBDC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2FA79A"/>
      <rgbColor rgb="FFD9D9D9"/>
      <rgbColor rgb="FF878787"/>
      <rgbColor rgb="FF9999FF"/>
      <rgbColor rgb="FF993366"/>
      <rgbColor rgb="FFFBEBC7"/>
      <rgbColor rgb="FFF4F7FA"/>
      <rgbColor rgb="FF660066"/>
      <rgbColor rgb="FFFF8080"/>
      <rgbColor rgb="FF0066CC"/>
      <rgbColor rgb="FFD6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3"/>
      <rgbColor rgb="FFFFF2A8"/>
      <rgbColor rgb="FF99CCFF"/>
      <rgbColor rgb="FFFF99CC"/>
      <rgbColor rgb="FFCC99FF"/>
      <rgbColor rgb="FFFBDCD8"/>
      <rgbColor rgb="FF4F81BD"/>
      <rgbColor rgb="FF4FD1C5"/>
      <rgbColor rgb="FF99CC00"/>
      <rgbColor rgb="FFFFCC00"/>
      <rgbColor rgb="FFFF9900"/>
      <rgbColor rgb="FFFF6A2B"/>
      <rgbColor rgb="FF6B7A90"/>
      <rgbColor rgb="FF7C93B8"/>
      <rgbColor rgb="FF0F2947"/>
      <rgbColor rgb="FF2E8B57"/>
      <rgbColor rgb="FF0A1C33"/>
      <rgbColor rgb="FF333300"/>
      <rgbColor rgb="FFC0392B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Budgeted vs Actual Cost by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'Project Data'!C5</c:f>
              <c:strCache>
                <c:ptCount val="1"/>
                <c:pt idx="0">
                  <c:v>Budgeted Cost</c:v>
                </c:pt>
              </c:strCache>
            </c:strRef>
          </c:tx>
          <c:spPr>
            <a:solidFill>
              <a:srgbClr val="7c9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Data'!$A$6:$A$11</c:f>
              <c:strCache>
                <c:ptCount val="6"/>
                <c:pt idx="0">
                  <c:v>Downtown Tower Renovation</c:v>
                </c:pt>
                <c:pt idx="1">
                  <c:v>Riverside Office Fit-out</c:v>
                </c:pt>
                <c:pt idx="2">
                  <c:v>Maple Residential Build</c:v>
                </c:pt>
                <c:pt idx="3">
                  <c:v>Northgate Industrial Shell</c:v>
                </c:pt>
                <c:pt idx="4">
                  <c:v>Harbourview Institutional</c:v>
                </c:pt>
                <c:pt idx="5">
                  <c:v>Sunridge Multi-family</c:v>
                </c:pt>
              </c:strCache>
            </c:strRef>
          </c:cat>
          <c:val>
            <c:numRef>
              <c:f>'Project Data'!$C$6:$C$11</c:f>
              <c:numCache>
                <c:formatCode>\$#,##0;"($"#,##0\);\-</c:formatCode>
                <c:ptCount val="6"/>
                <c:pt idx="0">
                  <c:v>2100000</c:v>
                </c:pt>
                <c:pt idx="1">
                  <c:v>800000</c:v>
                </c:pt>
                <c:pt idx="2">
                  <c:v>3000000</c:v>
                </c:pt>
                <c:pt idx="3">
                  <c:v>1650000</c:v>
                </c:pt>
                <c:pt idx="4">
                  <c:v>4200000</c:v>
                </c:pt>
                <c:pt idx="5">
                  <c:v>2750000</c:v>
                </c:pt>
              </c:numCache>
            </c:numRef>
          </c:val>
        </c:ser>
        <c:ser>
          <c:idx val="1"/>
          <c:order val="1"/>
          <c:tx>
            <c:strRef>
              <c:f>'Project Data'!D5</c:f>
              <c:strCache>
                <c:ptCount val="1"/>
                <c:pt idx="0">
                  <c:v>Actual Cost</c:v>
                </c:pt>
              </c:strCache>
            </c:strRef>
          </c:tx>
          <c:spPr>
            <a:solidFill>
              <a:srgbClr val="ff6a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Data'!$A$6:$A$11</c:f>
              <c:strCache>
                <c:ptCount val="6"/>
                <c:pt idx="0">
                  <c:v>Downtown Tower Renovation</c:v>
                </c:pt>
                <c:pt idx="1">
                  <c:v>Riverside Office Fit-out</c:v>
                </c:pt>
                <c:pt idx="2">
                  <c:v>Maple Residential Build</c:v>
                </c:pt>
                <c:pt idx="3">
                  <c:v>Northgate Industrial Shell</c:v>
                </c:pt>
                <c:pt idx="4">
                  <c:v>Harbourview Institutional</c:v>
                </c:pt>
                <c:pt idx="5">
                  <c:v>Sunridge Multi-family</c:v>
                </c:pt>
              </c:strCache>
            </c:strRef>
          </c:cat>
          <c:val>
            <c:numRef>
              <c:f>'Project Data'!$D$6:$D$11</c:f>
              <c:numCache>
                <c:formatCode>\$#,##0;"($"#,##0\);\-</c:formatCode>
                <c:ptCount val="6"/>
                <c:pt idx="0">
                  <c:v>2250000</c:v>
                </c:pt>
                <c:pt idx="1">
                  <c:v>720000</c:v>
                </c:pt>
                <c:pt idx="2">
                  <c:v>3100000</c:v>
                </c:pt>
                <c:pt idx="3">
                  <c:v>1590000</c:v>
                </c:pt>
                <c:pt idx="4">
                  <c:v>4550000</c:v>
                </c:pt>
                <c:pt idx="5">
                  <c:v>2790000</c:v>
                </c:pt>
              </c:numCache>
            </c:numRef>
          </c:val>
        </c:ser>
        <c:gapWidth val="60"/>
        <c:overlap val="0"/>
        <c:axId val="41294163"/>
        <c:axId val="50666731"/>
      </c:barChart>
      <c:catAx>
        <c:axId val="41294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66731"/>
        <c:crosses val="autoZero"/>
        <c:auto val="1"/>
        <c:lblAlgn val="ctr"/>
        <c:lblOffset val="100"/>
        <c:noMultiLvlLbl val="0"/>
      </c:catAx>
      <c:valAx>
        <c:axId val="50666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941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% by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'Project Data'!G5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rgbClr val="2fa79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Data'!$A$6:$A$11</c:f>
              <c:strCache>
                <c:ptCount val="6"/>
                <c:pt idx="0">
                  <c:v>Downtown Tower Renovation</c:v>
                </c:pt>
                <c:pt idx="1">
                  <c:v>Riverside Office Fit-out</c:v>
                </c:pt>
                <c:pt idx="2">
                  <c:v>Maple Residential Build</c:v>
                </c:pt>
                <c:pt idx="3">
                  <c:v>Northgate Industrial Shell</c:v>
                </c:pt>
                <c:pt idx="4">
                  <c:v>Harbourview Institutional</c:v>
                </c:pt>
                <c:pt idx="5">
                  <c:v>Sunridge Multi-family</c:v>
                </c:pt>
              </c:strCache>
            </c:strRef>
          </c:cat>
          <c:val>
            <c:numRef>
              <c:f>'Project Data'!$G$6:$G$11</c:f>
              <c:numCache>
                <c:formatCode>0.0%</c:formatCode>
                <c:ptCount val="6"/>
                <c:pt idx="0">
                  <c:v>0.141221374045802</c:v>
                </c:pt>
                <c:pt idx="1">
                  <c:v>0.221621621621622</c:v>
                </c:pt>
                <c:pt idx="2">
                  <c:v>0.159891598915989</c:v>
                </c:pt>
                <c:pt idx="3">
                  <c:v>0.190839694656489</c:v>
                </c:pt>
                <c:pt idx="4">
                  <c:v>0.10958904109589</c:v>
                </c:pt>
                <c:pt idx="5">
                  <c:v>0.169642857142857</c:v>
                </c:pt>
              </c:numCache>
            </c:numRef>
          </c:val>
        </c:ser>
        <c:gapWidth val="150"/>
        <c:overlap val="0"/>
        <c:axId val="15837758"/>
        <c:axId val="7196703"/>
      </c:barChart>
      <c:catAx>
        <c:axId val="15837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96703"/>
        <c:crosses val="autoZero"/>
        <c:auto val="1"/>
        <c:lblAlgn val="ctr"/>
        <c:lblOffset val="100"/>
        <c:noMultiLvlLbl val="0"/>
      </c:catAx>
      <c:valAx>
        <c:axId val="7196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377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 Status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'Project Data'!B15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8860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c0392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'Project Data'!$A$16:$A$18</c:f>
              <c:strCache>
                <c:ptCount val="3"/>
                <c:pt idx="0">
                  <c:v>Good</c:v>
                </c:pt>
                <c:pt idx="1">
                  <c:v>Watch</c:v>
                </c:pt>
                <c:pt idx="2">
                  <c:v>At Risk</c:v>
                </c:pt>
              </c:strCache>
            </c:strRef>
          </c:cat>
          <c:val>
            <c:numRef>
              <c:f>'Project Data'!$B$16:$B$18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Variance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Variance'!B5</c:f>
              <c:strCache>
                <c:ptCount val="1"/>
                <c:pt idx="0">
                  <c:v>Budgeted $</c:v>
                </c:pt>
              </c:strCache>
            </c:strRef>
          </c:tx>
          <c:spPr>
            <a:solidFill>
              <a:srgbClr val="7c93b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Variance'!$A$6:$A$9</c:f>
              <c:strCache>
                <c:ptCount val="4"/>
                <c:pt idx="0">
                  <c:v>Materials</c:v>
                </c:pt>
                <c:pt idx="1">
                  <c:v>Labour</c:v>
                </c:pt>
                <c:pt idx="2">
                  <c:v>Equipment</c:v>
                </c:pt>
                <c:pt idx="3">
                  <c:v>Subcontractors</c:v>
                </c:pt>
              </c:strCache>
            </c:strRef>
          </c:cat>
          <c:val>
            <c:numRef>
              <c:f>'Cost Variance'!$B$6:$B$9</c:f>
              <c:numCache>
                <c:formatCode>\$#,##0;"($"#,##0\);\-</c:formatCode>
                <c:ptCount val="4"/>
                <c:pt idx="0">
                  <c:v>2400000</c:v>
                </c:pt>
                <c:pt idx="1">
                  <c:v>1900000</c:v>
                </c:pt>
                <c:pt idx="2">
                  <c:v>770000</c:v>
                </c:pt>
                <c:pt idx="3">
                  <c:v>680000</c:v>
                </c:pt>
              </c:numCache>
            </c:numRef>
          </c:val>
        </c:ser>
        <c:ser>
          <c:idx val="1"/>
          <c:order val="1"/>
          <c:tx>
            <c:strRef>
              <c:f>'Cost Variance'!C5</c:f>
              <c:strCache>
                <c:ptCount val="1"/>
                <c:pt idx="0">
                  <c:v>Actual $</c:v>
                </c:pt>
              </c:strCache>
            </c:strRef>
          </c:tx>
          <c:spPr>
            <a:solidFill>
              <a:srgbClr val="ff6a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Variance'!$A$6:$A$9</c:f>
              <c:strCache>
                <c:ptCount val="4"/>
                <c:pt idx="0">
                  <c:v>Materials</c:v>
                </c:pt>
                <c:pt idx="1">
                  <c:v>Labour</c:v>
                </c:pt>
                <c:pt idx="2">
                  <c:v>Equipment</c:v>
                </c:pt>
                <c:pt idx="3">
                  <c:v>Subcontractors</c:v>
                </c:pt>
              </c:strCache>
            </c:strRef>
          </c:cat>
          <c:val>
            <c:numRef>
              <c:f>'Cost Variance'!$C$6:$C$9</c:f>
              <c:numCache>
                <c:formatCode>\$#,##0;"($"#,##0\);\-</c:formatCode>
                <c:ptCount val="4"/>
                <c:pt idx="0">
                  <c:v>2688000</c:v>
                </c:pt>
                <c:pt idx="1">
                  <c:v>2052000</c:v>
                </c:pt>
                <c:pt idx="2">
                  <c:v>800800</c:v>
                </c:pt>
                <c:pt idx="3">
                  <c:v>720800</c:v>
                </c:pt>
              </c:numCache>
            </c:numRef>
          </c:val>
        </c:ser>
        <c:gapWidth val="60"/>
        <c:overlap val="0"/>
        <c:axId val="97790694"/>
        <c:axId val="21094112"/>
      </c:barChart>
      <c:catAx>
        <c:axId val="977906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94112"/>
        <c:crosses val="autoZero"/>
        <c:auto val="1"/>
        <c:lblAlgn val="ctr"/>
        <c:lblOffset val="100"/>
        <c:noMultiLvlLbl val="0"/>
      </c:catAx>
      <c:valAx>
        <c:axId val="21094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906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Labour Hours — Planned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Workforce!B5</c:f>
              <c:strCache>
                <c:ptCount val="1"/>
                <c:pt idx="0">
                  <c:v>Planned Hours</c:v>
                </c:pt>
              </c:strCache>
            </c:strRef>
          </c:tx>
          <c:spPr>
            <a:solidFill>
              <a:srgbClr val="7c93b8"/>
            </a:solidFill>
            <a:ln w="28440">
              <a:solidFill>
                <a:srgbClr val="7c93b8"/>
              </a:solidFill>
              <a:round/>
            </a:ln>
          </c:spPr>
          <c:marker>
            <c:symbol val="circle"/>
            <c:size val="5"/>
            <c:spPr>
              <a:solidFill>
                <a:srgbClr val="7c93b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Workforce!$A$6:$A$11</c:f>
              <c:strCache>
                <c:ptCount val="6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</c:strCache>
            </c:strRef>
          </c:cat>
          <c:val>
            <c:numRef>
              <c:f>Workforce!$B$6:$B$11</c:f>
              <c:numCache>
                <c:formatCode>#,##0</c:formatCode>
                <c:ptCount val="6"/>
                <c:pt idx="0">
                  <c:v>3300</c:v>
                </c:pt>
                <c:pt idx="1">
                  <c:v>3300</c:v>
                </c:pt>
                <c:pt idx="2">
                  <c:v>3300</c:v>
                </c:pt>
                <c:pt idx="3">
                  <c:v>3300</c:v>
                </c:pt>
                <c:pt idx="4">
                  <c:v>3300</c:v>
                </c:pt>
                <c:pt idx="5">
                  <c:v>3300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Workforce!C5</c:f>
              <c:strCache>
                <c:ptCount val="1"/>
                <c:pt idx="0">
                  <c:v>Actual Hours</c:v>
                </c:pt>
              </c:strCache>
            </c:strRef>
          </c:tx>
          <c:spPr>
            <a:solidFill>
              <a:srgbClr val="ff6a2b"/>
            </a:solidFill>
            <a:ln w="28440">
              <a:solidFill>
                <a:srgbClr val="ff6a2b"/>
              </a:solidFill>
              <a:round/>
            </a:ln>
          </c:spPr>
          <c:marker>
            <c:symbol val="circle"/>
            <c:size val="5"/>
            <c:spPr>
              <a:solidFill>
                <a:srgbClr val="ff6a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Workforce!$A$6:$A$11</c:f>
              <c:strCache>
                <c:ptCount val="6"/>
                <c:pt idx="0">
                  <c:v>Wk 1</c:v>
                </c:pt>
                <c:pt idx="1">
                  <c:v>Wk 2</c:v>
                </c:pt>
                <c:pt idx="2">
                  <c:v>Wk 3</c:v>
                </c:pt>
                <c:pt idx="3">
                  <c:v>Wk 4</c:v>
                </c:pt>
                <c:pt idx="4">
                  <c:v>Wk 5</c:v>
                </c:pt>
                <c:pt idx="5">
                  <c:v>Wk 6</c:v>
                </c:pt>
              </c:strCache>
            </c:strRef>
          </c:cat>
          <c:val>
            <c:numRef>
              <c:f>Workforce!$C$6:$C$11</c:f>
              <c:numCache>
                <c:formatCode>#,##0</c:formatCode>
                <c:ptCount val="6"/>
                <c:pt idx="0">
                  <c:v>3333</c:v>
                </c:pt>
                <c:pt idx="1">
                  <c:v>3267</c:v>
                </c:pt>
                <c:pt idx="2">
                  <c:v>3201</c:v>
                </c:pt>
                <c:pt idx="3">
                  <c:v>3135</c:v>
                </c:pt>
                <c:pt idx="4">
                  <c:v>3069</c:v>
                </c:pt>
                <c:pt idx="5">
                  <c:v>3036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148200"/>
        <c:axId val="63332120"/>
      </c:lineChart>
      <c:catAx>
        <c:axId val="8114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32120"/>
        <c:crosses val="autoZero"/>
        <c:auto val="1"/>
        <c:lblAlgn val="ctr"/>
        <c:lblOffset val="100"/>
        <c:noMultiLvlLbl val="0"/>
      </c:catAx>
      <c:valAx>
        <c:axId val="633321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48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Building Construction Price Index (StatCan)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'Market Data'!B5</c:f>
              <c:strCache>
                <c:ptCount val="1"/>
                <c:pt idx="0">
                  <c:v>Residential BCPI</c:v>
                </c:pt>
              </c:strCache>
            </c:strRef>
          </c:tx>
          <c:spPr>
            <a:solidFill>
              <a:srgbClr val="ff6a2b"/>
            </a:solidFill>
            <a:ln w="28440">
              <a:solidFill>
                <a:srgbClr val="ff6a2b"/>
              </a:solidFill>
              <a:round/>
            </a:ln>
          </c:spPr>
          <c:marker>
            <c:symbol val="circle"/>
            <c:size val="5"/>
            <c:spPr>
              <a:solidFill>
                <a:srgbClr val="ff6a2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Data'!$A$6:$A$9</c:f>
              <c:strCache>
                <c:ptCount val="4"/>
                <c:pt idx="0">
                  <c:v>Q3 '25</c:v>
                </c:pt>
                <c:pt idx="1">
                  <c:v>Q4 '25</c:v>
                </c:pt>
                <c:pt idx="2">
                  <c:v>Q1 '26</c:v>
                </c:pt>
                <c:pt idx="3">
                  <c:v>Q2 '26</c:v>
                </c:pt>
              </c:strCache>
            </c:strRef>
          </c:cat>
          <c:val>
            <c:numRef>
              <c:f>'Market Data'!$B$6:$B$9</c:f>
              <c:numCache>
                <c:formatCode>General</c:formatCode>
                <c:ptCount val="4"/>
                <c:pt idx="0">
                  <c:v>102.1</c:v>
                </c:pt>
                <c:pt idx="1">
                  <c:v>102.8</c:v>
                </c:pt>
                <c:pt idx="2">
                  <c:v>103.5</c:v>
                </c:pt>
                <c:pt idx="3">
                  <c:v>104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'Market Data'!C5</c:f>
              <c:strCache>
                <c:ptCount val="1"/>
                <c:pt idx="0">
                  <c:v>Non-Residential BCPI</c:v>
                </c:pt>
              </c:strCache>
            </c:strRef>
          </c:tx>
          <c:spPr>
            <a:solidFill>
              <a:srgbClr val="2fa79a"/>
            </a:solidFill>
            <a:ln w="28440">
              <a:solidFill>
                <a:srgbClr val="2fa79a"/>
              </a:solidFill>
              <a:round/>
            </a:ln>
          </c:spPr>
          <c:marker>
            <c:symbol val="circle"/>
            <c:size val="5"/>
            <c:spPr>
              <a:solidFill>
                <a:srgbClr val="2fa79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Data'!$A$6:$A$9</c:f>
              <c:strCache>
                <c:ptCount val="4"/>
                <c:pt idx="0">
                  <c:v>Q3 '25</c:v>
                </c:pt>
                <c:pt idx="1">
                  <c:v>Q4 '25</c:v>
                </c:pt>
                <c:pt idx="2">
                  <c:v>Q1 '26</c:v>
                </c:pt>
                <c:pt idx="3">
                  <c:v>Q2 '26</c:v>
                </c:pt>
              </c:strCache>
            </c:strRef>
          </c:cat>
          <c:val>
            <c:numRef>
              <c:f>'Market Data'!$C$6:$C$9</c:f>
              <c:numCache>
                <c:formatCode>General</c:formatCode>
                <c:ptCount val="4"/>
                <c:pt idx="0">
                  <c:v>103</c:v>
                </c:pt>
                <c:pt idx="1">
                  <c:v>104.1</c:v>
                </c:pt>
                <c:pt idx="2">
                  <c:v>105</c:v>
                </c:pt>
                <c:pt idx="3">
                  <c:v>106.5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725125"/>
        <c:axId val="85685081"/>
      </c:lineChart>
      <c:catAx>
        <c:axId val="9725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85081"/>
        <c:crosses val="autoZero"/>
        <c:auto val="1"/>
        <c:lblAlgn val="ctr"/>
        <c:lblOffset val="100"/>
        <c:noMultiLvlLbl val="0"/>
      </c:catAx>
      <c:valAx>
        <c:axId val="85685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5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Building Permit Value Growth by Region (2024→2025, StatCan)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'Market Data'!B14</c:f>
              <c:strCache>
                <c:ptCount val="1"/>
                <c:pt idx="0">
                  <c:v>Permit Value Growth 2024→2025</c:v>
                </c:pt>
              </c:strCache>
            </c:strRef>
          </c:tx>
          <c:spPr>
            <a:solidFill>
              <a:srgbClr val="ff6a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Data'!$A$15:$A$19</c:f>
              <c:strCache>
                <c:ptCount val="5"/>
                <c:pt idx="0">
                  <c:v>Atlantic</c:v>
                </c:pt>
                <c:pt idx="1">
                  <c:v>Prairie</c:v>
                </c:pt>
                <c:pt idx="2">
                  <c:v>Ontario</c:v>
                </c:pt>
                <c:pt idx="3">
                  <c:v>Quebec</c:v>
                </c:pt>
                <c:pt idx="4">
                  <c:v>B.C.</c:v>
                </c:pt>
              </c:strCache>
            </c:strRef>
          </c:cat>
          <c:val>
            <c:numRef>
              <c:f>'Market Data'!$B$15:$B$19</c:f>
              <c:numCache>
                <c:formatCode>0.0%</c:formatCode>
                <c:ptCount val="5"/>
                <c:pt idx="0">
                  <c:v>0.168</c:v>
                </c:pt>
                <c:pt idx="1">
                  <c:v>0.147</c:v>
                </c:pt>
                <c:pt idx="2">
                  <c:v>0.061</c:v>
                </c:pt>
                <c:pt idx="3">
                  <c:v>0.043</c:v>
                </c:pt>
                <c:pt idx="4">
                  <c:v>0.03</c:v>
                </c:pt>
              </c:numCache>
            </c:numRef>
          </c:val>
        </c:ser>
        <c:gapWidth val="150"/>
        <c:overlap val="0"/>
        <c:axId val="51234852"/>
        <c:axId val="45454231"/>
      </c:barChart>
      <c:catAx>
        <c:axId val="512348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454231"/>
        <c:crosses val="autoZero"/>
        <c:auto val="1"/>
        <c:lblAlgn val="ctr"/>
        <c:lblOffset val="100"/>
        <c:noMultiLvlLbl val="0"/>
      </c:catAx>
      <c:valAx>
        <c:axId val="454542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348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70560</xdr:rowOff>
    </xdr:from>
    <xdr:to>
      <xdr:col>7</xdr:col>
      <xdr:colOff>621720</xdr:colOff>
      <xdr:row>25</xdr:row>
      <xdr:rowOff>82080</xdr:rowOff>
    </xdr:to>
    <xdr:graphicFrame>
      <xdr:nvGraphicFramePr>
        <xdr:cNvPr id="0" name="Chart 1"/>
        <xdr:cNvGraphicFramePr/>
      </xdr:nvGraphicFramePr>
      <xdr:xfrm>
        <a:off x="211320" y="1905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70560</xdr:rowOff>
    </xdr:from>
    <xdr:to>
      <xdr:col>13</xdr:col>
      <xdr:colOff>621720</xdr:colOff>
      <xdr:row>25</xdr:row>
      <xdr:rowOff>82080</xdr:rowOff>
    </xdr:to>
    <xdr:graphicFrame>
      <xdr:nvGraphicFramePr>
        <xdr:cNvPr id="1" name="Chart 2"/>
        <xdr:cNvGraphicFramePr/>
      </xdr:nvGraphicFramePr>
      <xdr:xfrm>
        <a:off x="5709240" y="190512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70560</xdr:rowOff>
    </xdr:from>
    <xdr:to>
      <xdr:col>7</xdr:col>
      <xdr:colOff>621720</xdr:colOff>
      <xdr:row>42</xdr:row>
      <xdr:rowOff>82440</xdr:rowOff>
    </xdr:to>
    <xdr:graphicFrame>
      <xdr:nvGraphicFramePr>
        <xdr:cNvPr id="2" name="Chart 3"/>
        <xdr:cNvGraphicFramePr/>
      </xdr:nvGraphicFramePr>
      <xdr:xfrm>
        <a:off x="211320" y="5143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70560</xdr:rowOff>
    </xdr:from>
    <xdr:to>
      <xdr:col>13</xdr:col>
      <xdr:colOff>621720</xdr:colOff>
      <xdr:row>42</xdr:row>
      <xdr:rowOff>82440</xdr:rowOff>
    </xdr:to>
    <xdr:graphicFrame>
      <xdr:nvGraphicFramePr>
        <xdr:cNvPr id="3" name="Chart 4"/>
        <xdr:cNvGraphicFramePr/>
      </xdr:nvGraphicFramePr>
      <xdr:xfrm>
        <a:off x="5709240" y="5143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43</xdr:row>
      <xdr:rowOff>70200</xdr:rowOff>
    </xdr:from>
    <xdr:to>
      <xdr:col>7</xdr:col>
      <xdr:colOff>621720</xdr:colOff>
      <xdr:row>59</xdr:row>
      <xdr:rowOff>82080</xdr:rowOff>
    </xdr:to>
    <xdr:graphicFrame>
      <xdr:nvGraphicFramePr>
        <xdr:cNvPr id="4" name="Chart 5"/>
        <xdr:cNvGraphicFramePr/>
      </xdr:nvGraphicFramePr>
      <xdr:xfrm>
        <a:off x="211320" y="8381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43</xdr:row>
      <xdr:rowOff>70200</xdr:rowOff>
    </xdr:from>
    <xdr:to>
      <xdr:col>13</xdr:col>
      <xdr:colOff>621720</xdr:colOff>
      <xdr:row>59</xdr:row>
      <xdr:rowOff>82080</xdr:rowOff>
    </xdr:to>
    <xdr:graphicFrame>
      <xdr:nvGraphicFramePr>
        <xdr:cNvPr id="5" name="Chart 6"/>
        <xdr:cNvGraphicFramePr/>
      </xdr:nvGraphicFramePr>
      <xdr:xfrm>
        <a:off x="5709240" y="8381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60</xdr:row>
      <xdr:rowOff>70560</xdr:rowOff>
    </xdr:from>
    <xdr:to>
      <xdr:col>7</xdr:col>
      <xdr:colOff>621720</xdr:colOff>
      <xdr:row>76</xdr:row>
      <xdr:rowOff>82080</xdr:rowOff>
    </xdr:to>
    <xdr:graphicFrame>
      <xdr:nvGraphicFramePr>
        <xdr:cNvPr id="6" name="Chart 7"/>
        <xdr:cNvGraphicFramePr/>
      </xdr:nvGraphicFramePr>
      <xdr:xfrm>
        <a:off x="211320" y="116204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2B"/>
    <pageSetUpPr fitToPage="false"/>
  </sheetPr>
  <dimension ref="B2:N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4" min="2" style="0" width="13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  <c r="L5" s="3" t="s">
        <v>7</v>
      </c>
      <c r="M5" s="3"/>
    </row>
    <row r="6" customFormat="false" ht="15" hidden="false" customHeight="false" outlineLevel="0" collapsed="false">
      <c r="B6" s="4" t="n">
        <f aca="false">'Project Data'!B12</f>
        <v>17670000</v>
      </c>
      <c r="C6" s="4"/>
      <c r="D6" s="4" t="n">
        <f aca="false">'Project Data'!D12</f>
        <v>15000000</v>
      </c>
      <c r="E6" s="4"/>
      <c r="F6" s="5" t="n">
        <f aca="false">'Project Data'!G12</f>
        <v>0.151103565365025</v>
      </c>
      <c r="G6" s="5"/>
      <c r="H6" s="6" t="n">
        <f aca="false">'Project Data'!F12</f>
        <v>0.0344827586206897</v>
      </c>
      <c r="I6" s="6"/>
      <c r="J6" s="7" t="n">
        <f aca="false">'Project Data'!B18</f>
        <v>2</v>
      </c>
      <c r="K6" s="7"/>
      <c r="L6" s="5" t="n">
        <f aca="false">'Bid Simulator'!B15</f>
        <v>0.0476190476190476</v>
      </c>
      <c r="M6" s="5"/>
    </row>
    <row r="7" customFormat="false" ht="15" hidden="false" customHeight="false" outlineLevel="0" collapsed="false">
      <c r="B7" s="4"/>
      <c r="C7" s="4"/>
      <c r="D7" s="4"/>
      <c r="E7" s="4"/>
      <c r="F7" s="5"/>
      <c r="G7" s="5"/>
      <c r="H7" s="6"/>
      <c r="I7" s="6"/>
      <c r="J7" s="7"/>
      <c r="K7" s="7"/>
      <c r="L7" s="5"/>
      <c r="M7" s="5"/>
    </row>
  </sheetData>
  <mergeCells count="14">
    <mergeCell ref="B2:N2"/>
    <mergeCell ref="B3:N3"/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  <mergeCell ref="L6:M7"/>
  </mergeCells>
  <conditionalFormatting sqref="B6">
    <cfRule type="expression" priority="2" aboveAverage="0" equalAverage="0" bottom="0" percent="0" rank="0" text="" dxfId="0">
      <formula>B6&lt;0.15</formula>
    </cfRule>
  </conditionalFormatting>
  <conditionalFormatting sqref="F6">
    <cfRule type="expression" priority="3" aboveAverage="0" equalAverage="0" bottom="0" percent="0" rank="0" text="" dxfId="0">
      <formula>F6&lt;0.15</formula>
    </cfRule>
  </conditionalFormatting>
  <conditionalFormatting sqref="H6">
    <cfRule type="expression" priority="4" aboveAverage="0" equalAverage="0" bottom="0" percent="0" rank="0" text="" dxfId="0">
      <formula>H6&gt;0.08</formula>
    </cfRule>
  </conditionalFormatting>
  <conditionalFormatting sqref="J6">
    <cfRule type="expression" priority="5" aboveAverage="0" equalAverage="0" bottom="0" percent="0" rank="0" text="" dxfId="0">
      <formula>J6&gt;0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A79A"/>
    <pageSetUpPr fitToPage="false"/>
  </sheetPr>
  <dimension ref="A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8" min="8" style="0" width="14"/>
  </cols>
  <sheetData>
    <row r="2" customFormat="false" ht="22.05" hidden="false" customHeight="false" outlineLevel="0" collapsed="false">
      <c r="B2" s="8" t="s">
        <v>8</v>
      </c>
    </row>
    <row r="3" customFormat="false" ht="15" hidden="false" customHeight="false" outlineLevel="0" collapsed="false">
      <c r="B3" s="9" t="s">
        <v>9</v>
      </c>
    </row>
    <row r="5" customFormat="false" ht="15" hidden="false" customHeight="false" outlineLevel="0" collapsed="false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14</v>
      </c>
      <c r="F5" s="10" t="s">
        <v>15</v>
      </c>
      <c r="G5" s="10" t="s">
        <v>16</v>
      </c>
      <c r="H5" s="10" t="s">
        <v>17</v>
      </c>
    </row>
    <row r="6" customFormat="false" ht="15" hidden="false" customHeight="false" outlineLevel="0" collapsed="false">
      <c r="A6" s="11" t="s">
        <v>18</v>
      </c>
      <c r="B6" s="12" t="n">
        <v>2620000</v>
      </c>
      <c r="C6" s="12" t="n">
        <v>2100000</v>
      </c>
      <c r="D6" s="12" t="n">
        <v>2250000</v>
      </c>
      <c r="E6" s="13" t="n">
        <f aca="false">D6-C6</f>
        <v>150000</v>
      </c>
      <c r="F6" s="14" t="n">
        <f aca="false">IF(C6=0,0,E6/C6)</f>
        <v>0.0714285714285714</v>
      </c>
      <c r="G6" s="15" t="n">
        <f aca="false">IF(B6=0,0,(B6-D6)/B6)</f>
        <v>0.141221374045802</v>
      </c>
      <c r="H6" s="16" t="str">
        <f aca="false">IF(G6&lt;0.15,"At Risk",IF(G6&lt;0.18,"Watch","Good"))</f>
        <v>At Risk</v>
      </c>
    </row>
    <row r="7" customFormat="false" ht="15" hidden="false" customHeight="false" outlineLevel="0" collapsed="false">
      <c r="A7" s="11" t="s">
        <v>19</v>
      </c>
      <c r="B7" s="12" t="n">
        <v>925000</v>
      </c>
      <c r="C7" s="12" t="n">
        <v>800000</v>
      </c>
      <c r="D7" s="12" t="n">
        <v>720000</v>
      </c>
      <c r="E7" s="13" t="n">
        <f aca="false">D7-C7</f>
        <v>-80000</v>
      </c>
      <c r="F7" s="14" t="n">
        <f aca="false">IF(C7=0,0,E7/C7)</f>
        <v>-0.1</v>
      </c>
      <c r="G7" s="15" t="n">
        <f aca="false">IF(B7=0,0,(B7-D7)/B7)</f>
        <v>0.221621621621622</v>
      </c>
      <c r="H7" s="16" t="str">
        <f aca="false">IF(G7&lt;0.15,"At Risk",IF(G7&lt;0.18,"Watch","Good"))</f>
        <v>Good</v>
      </c>
    </row>
    <row r="8" customFormat="false" ht="15" hidden="false" customHeight="false" outlineLevel="0" collapsed="false">
      <c r="A8" s="11" t="s">
        <v>20</v>
      </c>
      <c r="B8" s="12" t="n">
        <v>3690000</v>
      </c>
      <c r="C8" s="12" t="n">
        <v>3000000</v>
      </c>
      <c r="D8" s="12" t="n">
        <v>3100000</v>
      </c>
      <c r="E8" s="13" t="n">
        <f aca="false">D8-C8</f>
        <v>100000</v>
      </c>
      <c r="F8" s="14" t="n">
        <f aca="false">IF(C8=0,0,E8/C8)</f>
        <v>0.0333333333333333</v>
      </c>
      <c r="G8" s="15" t="n">
        <f aca="false">IF(B8=0,0,(B8-D8)/B8)</f>
        <v>0.159891598915989</v>
      </c>
      <c r="H8" s="16" t="str">
        <f aca="false">IF(G8&lt;0.15,"At Risk",IF(G8&lt;0.18,"Watch","Good"))</f>
        <v>Watch</v>
      </c>
    </row>
    <row r="9" customFormat="false" ht="15" hidden="false" customHeight="false" outlineLevel="0" collapsed="false">
      <c r="A9" s="11" t="s">
        <v>21</v>
      </c>
      <c r="B9" s="12" t="n">
        <v>1965000</v>
      </c>
      <c r="C9" s="12" t="n">
        <v>1650000</v>
      </c>
      <c r="D9" s="12" t="n">
        <v>1590000</v>
      </c>
      <c r="E9" s="13" t="n">
        <f aca="false">D9-C9</f>
        <v>-60000</v>
      </c>
      <c r="F9" s="14" t="n">
        <f aca="false">IF(C9=0,0,E9/C9)</f>
        <v>-0.0363636363636364</v>
      </c>
      <c r="G9" s="15" t="n">
        <f aca="false">IF(B9=0,0,(B9-D9)/B9)</f>
        <v>0.190839694656489</v>
      </c>
      <c r="H9" s="16" t="str">
        <f aca="false">IF(G9&lt;0.15,"At Risk",IF(G9&lt;0.18,"Watch","Good"))</f>
        <v>Good</v>
      </c>
    </row>
    <row r="10" customFormat="false" ht="15" hidden="false" customHeight="false" outlineLevel="0" collapsed="false">
      <c r="A10" s="11" t="s">
        <v>22</v>
      </c>
      <c r="B10" s="12" t="n">
        <v>5110000</v>
      </c>
      <c r="C10" s="12" t="n">
        <v>4200000</v>
      </c>
      <c r="D10" s="12" t="n">
        <v>4550000</v>
      </c>
      <c r="E10" s="13" t="n">
        <f aca="false">D10-C10</f>
        <v>350000</v>
      </c>
      <c r="F10" s="14" t="n">
        <f aca="false">IF(C10=0,0,E10/C10)</f>
        <v>0.0833333333333333</v>
      </c>
      <c r="G10" s="15" t="n">
        <f aca="false">IF(B10=0,0,(B10-D10)/B10)</f>
        <v>0.10958904109589</v>
      </c>
      <c r="H10" s="16" t="str">
        <f aca="false">IF(G10&lt;0.15,"At Risk",IF(G10&lt;0.18,"Watch","Good"))</f>
        <v>At Risk</v>
      </c>
    </row>
    <row r="11" customFormat="false" ht="15" hidden="false" customHeight="false" outlineLevel="0" collapsed="false">
      <c r="A11" s="11" t="s">
        <v>23</v>
      </c>
      <c r="B11" s="12" t="n">
        <v>3360000</v>
      </c>
      <c r="C11" s="12" t="n">
        <v>2750000</v>
      </c>
      <c r="D11" s="12" t="n">
        <v>2790000</v>
      </c>
      <c r="E11" s="13" t="n">
        <f aca="false">D11-C11</f>
        <v>40000</v>
      </c>
      <c r="F11" s="14" t="n">
        <f aca="false">IF(C11=0,0,E11/C11)</f>
        <v>0.0145454545454545</v>
      </c>
      <c r="G11" s="15" t="n">
        <f aca="false">IF(B11=0,0,(B11-D11)/B11)</f>
        <v>0.169642857142857</v>
      </c>
      <c r="H11" s="16" t="str">
        <f aca="false">IF(G11&lt;0.15,"At Risk",IF(G11&lt;0.18,"Watch","Good"))</f>
        <v>Watch</v>
      </c>
    </row>
    <row r="12" customFormat="false" ht="15" hidden="false" customHeight="false" outlineLevel="0" collapsed="false">
      <c r="A12" s="17" t="s">
        <v>24</v>
      </c>
      <c r="B12" s="18" t="n">
        <f aca="false">SUM(B6:B11)</f>
        <v>17670000</v>
      </c>
      <c r="C12" s="18" t="n">
        <f aca="false">SUM(C6:C11)</f>
        <v>14500000</v>
      </c>
      <c r="D12" s="18" t="n">
        <f aca="false">SUM(D6:D11)</f>
        <v>15000000</v>
      </c>
      <c r="E12" s="18" t="n">
        <f aca="false">D12-C12</f>
        <v>500000</v>
      </c>
      <c r="F12" s="19" t="n">
        <f aca="false">IF(C12=0,0,E12/C12)</f>
        <v>0.0344827586206897</v>
      </c>
      <c r="G12" s="20" t="n">
        <f aca="false">IF(B12=0,0,(B12-D12)/B12)</f>
        <v>0.151103565365025</v>
      </c>
    </row>
    <row r="15" customFormat="false" ht="15" hidden="false" customHeight="false" outlineLevel="0" collapsed="false">
      <c r="A15" s="21" t="s">
        <v>25</v>
      </c>
    </row>
    <row r="16" customFormat="false" ht="15" hidden="false" customHeight="false" outlineLevel="0" collapsed="false">
      <c r="A16" s="22" t="s">
        <v>26</v>
      </c>
      <c r="B16" s="23" t="n">
        <f aca="false">COUNTIF(H6:H11,A16)</f>
        <v>2</v>
      </c>
    </row>
    <row r="17" customFormat="false" ht="15" hidden="false" customHeight="false" outlineLevel="0" collapsed="false">
      <c r="A17" s="22" t="s">
        <v>27</v>
      </c>
      <c r="B17" s="23" t="n">
        <f aca="false">COUNTIF(H6:H11,A17)</f>
        <v>2</v>
      </c>
    </row>
    <row r="18" customFormat="false" ht="15" hidden="false" customHeight="false" outlineLevel="0" collapsed="false">
      <c r="A18" s="22" t="s">
        <v>28</v>
      </c>
      <c r="B18" s="23" t="n">
        <f aca="false">COUNTIF(H6:H11,A18)</f>
        <v>2</v>
      </c>
    </row>
    <row r="21" customFormat="false" ht="27.75" hidden="false" customHeight="true" outlineLevel="0" collapsed="false">
      <c r="A21" s="24" t="s">
        <v>29</v>
      </c>
      <c r="B21" s="24"/>
      <c r="C21" s="24"/>
      <c r="D21" s="24"/>
      <c r="E21" s="24"/>
      <c r="F21" s="24"/>
      <c r="G21" s="24"/>
      <c r="H21" s="24"/>
    </row>
  </sheetData>
  <mergeCells count="1">
    <mergeCell ref="A21:H21"/>
  </mergeCells>
  <conditionalFormatting sqref="H6:H11">
    <cfRule type="cellIs" priority="2" operator="equal" aboveAverage="0" equalAverage="0" bottom="0" percent="0" rank="0" text="" dxfId="1">
      <formula>"Good"</formula>
    </cfRule>
    <cfRule type="cellIs" priority="3" operator="equal" aboveAverage="0" equalAverage="0" bottom="0" percent="0" rank="0" text="" dxfId="2">
      <formula>"Watch"</formula>
    </cfRule>
    <cfRule type="cellIs" priority="4" operator="equal" aboveAverage="0" equalAverage="0" bottom="0" percent="0" rank="0" text="" dxfId="3">
      <formula>"At Risk"</formula>
    </cfRule>
  </conditionalFormatting>
  <conditionalFormatting sqref="F6:F11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2B"/>
    <pageSetUpPr fitToPage="false"/>
  </sheetPr>
  <dimension ref="A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15"/>
  </cols>
  <sheetData>
    <row r="2" customFormat="false" ht="22.05" hidden="false" customHeight="false" outlineLevel="0" collapsed="false">
      <c r="B2" s="8" t="s">
        <v>30</v>
      </c>
    </row>
    <row r="3" customFormat="false" ht="15" hidden="false" customHeight="false" outlineLevel="0" collapsed="false">
      <c r="B3" s="9" t="s">
        <v>31</v>
      </c>
    </row>
    <row r="5" customFormat="false" ht="15" hidden="false" customHeight="false" outlineLevel="0" collapsed="false">
      <c r="A5" s="10" t="s">
        <v>32</v>
      </c>
      <c r="B5" s="10" t="s">
        <v>33</v>
      </c>
      <c r="C5" s="10" t="s">
        <v>34</v>
      </c>
      <c r="D5" s="10" t="s">
        <v>35</v>
      </c>
      <c r="E5" s="10" t="s">
        <v>36</v>
      </c>
    </row>
    <row r="6" customFormat="false" ht="15" hidden="false" customHeight="false" outlineLevel="0" collapsed="false">
      <c r="A6" s="11" t="s">
        <v>37</v>
      </c>
      <c r="B6" s="12" t="n">
        <v>2400000</v>
      </c>
      <c r="C6" s="12" t="n">
        <v>2688000</v>
      </c>
      <c r="D6" s="13" t="n">
        <f aca="false">C6-B6</f>
        <v>288000</v>
      </c>
      <c r="E6" s="14" t="n">
        <f aca="false">IF(B6=0,0,D6/B6)</f>
        <v>0.12</v>
      </c>
    </row>
    <row r="7" customFormat="false" ht="15" hidden="false" customHeight="false" outlineLevel="0" collapsed="false">
      <c r="A7" s="11" t="s">
        <v>38</v>
      </c>
      <c r="B7" s="12" t="n">
        <v>1900000</v>
      </c>
      <c r="C7" s="12" t="n">
        <v>2052000</v>
      </c>
      <c r="D7" s="13" t="n">
        <f aca="false">C7-B7</f>
        <v>152000</v>
      </c>
      <c r="E7" s="14" t="n">
        <f aca="false">IF(B7=0,0,D7/B7)</f>
        <v>0.08</v>
      </c>
    </row>
    <row r="8" customFormat="false" ht="15" hidden="false" customHeight="false" outlineLevel="0" collapsed="false">
      <c r="A8" s="11" t="s">
        <v>39</v>
      </c>
      <c r="B8" s="12" t="n">
        <v>770000</v>
      </c>
      <c r="C8" s="12" t="n">
        <v>800800</v>
      </c>
      <c r="D8" s="13" t="n">
        <f aca="false">C8-B8</f>
        <v>30800</v>
      </c>
      <c r="E8" s="14" t="n">
        <f aca="false">IF(B8=0,0,D8/B8)</f>
        <v>0.04</v>
      </c>
    </row>
    <row r="9" customFormat="false" ht="15" hidden="false" customHeight="false" outlineLevel="0" collapsed="false">
      <c r="A9" s="11" t="s">
        <v>40</v>
      </c>
      <c r="B9" s="12" t="n">
        <v>680000</v>
      </c>
      <c r="C9" s="12" t="n">
        <v>720800</v>
      </c>
      <c r="D9" s="13" t="n">
        <f aca="false">C9-B9</f>
        <v>40800</v>
      </c>
      <c r="E9" s="14" t="n">
        <f aca="false">IF(B9=0,0,D9/B9)</f>
        <v>0.06</v>
      </c>
    </row>
    <row r="10" customFormat="false" ht="15" hidden="false" customHeight="false" outlineLevel="0" collapsed="false">
      <c r="A10" s="25" t="s">
        <v>41</v>
      </c>
      <c r="B10" s="18" t="n">
        <f aca="false">SUM(B6:B9)</f>
        <v>5750000</v>
      </c>
      <c r="C10" s="18" t="n">
        <f aca="false">SUM(C6:C9)</f>
        <v>6261600</v>
      </c>
      <c r="D10" s="18" t="n">
        <f aca="false">SUM(D6:D9)</f>
        <v>511600</v>
      </c>
      <c r="E10" s="19" t="n">
        <f aca="false">IF(B10=0,0,D10/B10)</f>
        <v>0.0889739130434783</v>
      </c>
    </row>
    <row r="12" customFormat="false" ht="39.75" hidden="false" customHeight="true" outlineLevel="0" collapsed="false">
      <c r="A12" s="24" t="s">
        <v>42</v>
      </c>
      <c r="B12" s="24"/>
      <c r="C12" s="24"/>
      <c r="D12" s="24"/>
      <c r="E12" s="24"/>
    </row>
  </sheetData>
  <mergeCells count="1"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7" min="7" style="0" width="16"/>
  </cols>
  <sheetData>
    <row r="2" customFormat="false" ht="22.05" hidden="false" customHeight="false" outlineLevel="0" collapsed="false">
      <c r="B2" s="8" t="s">
        <v>43</v>
      </c>
    </row>
    <row r="3" customFormat="false" ht="15" hidden="false" customHeight="false" outlineLevel="0" collapsed="false">
      <c r="B3" s="9" t="s">
        <v>44</v>
      </c>
    </row>
    <row r="5" customFormat="false" ht="15" hidden="false" customHeight="false" outlineLevel="0" collapsed="false">
      <c r="A5" s="10" t="s">
        <v>45</v>
      </c>
      <c r="B5" s="10" t="s">
        <v>46</v>
      </c>
      <c r="C5" s="10" t="s">
        <v>47</v>
      </c>
      <c r="D5" s="10" t="s">
        <v>36</v>
      </c>
      <c r="F5" s="26" t="s">
        <v>48</v>
      </c>
      <c r="G5" s="26" t="s">
        <v>49</v>
      </c>
    </row>
    <row r="6" customFormat="false" ht="15" hidden="false" customHeight="false" outlineLevel="0" collapsed="false">
      <c r="A6" s="11" t="s">
        <v>50</v>
      </c>
      <c r="B6" s="27" t="n">
        <v>3300</v>
      </c>
      <c r="C6" s="27" t="n">
        <v>3333</v>
      </c>
      <c r="D6" s="14" t="n">
        <f aca="false">IF(B6=0,0,(C6-B6)/B6)</f>
        <v>0.01</v>
      </c>
      <c r="F6" s="11" t="s">
        <v>51</v>
      </c>
      <c r="G6" s="28" t="n">
        <v>49</v>
      </c>
    </row>
    <row r="7" customFormat="false" ht="15" hidden="false" customHeight="false" outlineLevel="0" collapsed="false">
      <c r="A7" s="11" t="s">
        <v>52</v>
      </c>
      <c r="B7" s="27" t="n">
        <v>3300</v>
      </c>
      <c r="C7" s="27" t="n">
        <v>3267</v>
      </c>
      <c r="D7" s="14" t="n">
        <f aca="false">IF(B7=0,0,(C7-B7)/B7)</f>
        <v>-0.01</v>
      </c>
      <c r="F7" s="11" t="s">
        <v>53</v>
      </c>
      <c r="G7" s="28" t="n">
        <v>54</v>
      </c>
    </row>
    <row r="8" customFormat="false" ht="15" hidden="false" customHeight="false" outlineLevel="0" collapsed="false">
      <c r="A8" s="11" t="s">
        <v>54</v>
      </c>
      <c r="B8" s="27" t="n">
        <v>3300</v>
      </c>
      <c r="C8" s="27" t="n">
        <v>3201</v>
      </c>
      <c r="D8" s="14" t="n">
        <f aca="false">IF(B8=0,0,(C8-B8)/B8)</f>
        <v>-0.03</v>
      </c>
      <c r="F8" s="11" t="s">
        <v>55</v>
      </c>
      <c r="G8" s="29" t="n">
        <f aca="false">IF(G6=0,0,(G7-G6)/G6)</f>
        <v>0.102040816326531</v>
      </c>
    </row>
    <row r="9" customFormat="false" ht="15" hidden="false" customHeight="false" outlineLevel="0" collapsed="false">
      <c r="A9" s="11" t="s">
        <v>56</v>
      </c>
      <c r="B9" s="27" t="n">
        <v>3300</v>
      </c>
      <c r="C9" s="27" t="n">
        <v>3135</v>
      </c>
      <c r="D9" s="14" t="n">
        <f aca="false">IF(B9=0,0,(C9-B9)/B9)</f>
        <v>-0.05</v>
      </c>
      <c r="F9" s="11" t="s">
        <v>57</v>
      </c>
      <c r="G9" s="30" t="n">
        <v>2760</v>
      </c>
    </row>
    <row r="10" customFormat="false" ht="15" hidden="false" customHeight="false" outlineLevel="0" collapsed="false">
      <c r="A10" s="11" t="s">
        <v>58</v>
      </c>
      <c r="B10" s="27" t="n">
        <v>3300</v>
      </c>
      <c r="C10" s="27" t="n">
        <v>3069</v>
      </c>
      <c r="D10" s="14" t="n">
        <f aca="false">IF(B10=0,0,(C10-B10)/B10)</f>
        <v>-0.07</v>
      </c>
      <c r="F10" s="11" t="s">
        <v>59</v>
      </c>
      <c r="G10" s="31" t="n">
        <f aca="false">IF(C12=0,0,G9/C12)</f>
        <v>0.144950370253663</v>
      </c>
    </row>
    <row r="11" customFormat="false" ht="15" hidden="false" customHeight="false" outlineLevel="0" collapsed="false">
      <c r="A11" s="11" t="s">
        <v>60</v>
      </c>
      <c r="B11" s="27" t="n">
        <v>3300</v>
      </c>
      <c r="C11" s="27" t="n">
        <v>3036</v>
      </c>
      <c r="D11" s="14" t="n">
        <f aca="false">IF(B11=0,0,(C11-B11)/B11)</f>
        <v>-0.08</v>
      </c>
      <c r="F11" s="11" t="s">
        <v>61</v>
      </c>
      <c r="G11" s="32" t="n">
        <v>0.1</v>
      </c>
    </row>
    <row r="12" customFormat="false" ht="15" hidden="false" customHeight="false" outlineLevel="0" collapsed="false">
      <c r="A12" s="25" t="s">
        <v>41</v>
      </c>
      <c r="B12" s="33" t="n">
        <f aca="false">SUM(B6:B11)</f>
        <v>19800</v>
      </c>
      <c r="C12" s="33" t="n">
        <f aca="false">SUM(C6:C11)</f>
        <v>19041</v>
      </c>
      <c r="D12" s="19" t="n">
        <f aca="false">IF(B12=0,0,(C12-B12)/B12)</f>
        <v>-0.0383333333333333</v>
      </c>
    </row>
    <row r="14" customFormat="false" ht="27.75" hidden="false" customHeight="true" outlineLevel="0" collapsed="false">
      <c r="A14" s="24" t="s">
        <v>62</v>
      </c>
      <c r="B14" s="24"/>
      <c r="C14" s="24"/>
      <c r="D14" s="24"/>
      <c r="E14" s="24"/>
      <c r="F14" s="24"/>
      <c r="G14" s="24"/>
    </row>
    <row r="15" customFormat="false" ht="15" hidden="false" customHeight="false" outlineLevel="0" collapsed="false">
      <c r="A15" s="26" t="s">
        <v>45</v>
      </c>
      <c r="B15" s="26" t="s">
        <v>63</v>
      </c>
    </row>
    <row r="16" customFormat="false" ht="15" hidden="false" customHeight="false" outlineLevel="0" collapsed="false">
      <c r="A16" s="34" t="s">
        <v>50</v>
      </c>
      <c r="B16" s="35" t="n">
        <v>101</v>
      </c>
    </row>
    <row r="17" customFormat="false" ht="15" hidden="false" customHeight="false" outlineLevel="0" collapsed="false">
      <c r="A17" s="34" t="s">
        <v>52</v>
      </c>
      <c r="B17" s="35" t="n">
        <v>99</v>
      </c>
    </row>
    <row r="18" customFormat="false" ht="15" hidden="false" customHeight="false" outlineLevel="0" collapsed="false">
      <c r="A18" s="34" t="s">
        <v>54</v>
      </c>
      <c r="B18" s="35" t="n">
        <v>97</v>
      </c>
    </row>
    <row r="19" customFormat="false" ht="15" hidden="false" customHeight="false" outlineLevel="0" collapsed="false">
      <c r="A19" s="34" t="s">
        <v>56</v>
      </c>
      <c r="B19" s="35" t="n">
        <v>95</v>
      </c>
    </row>
    <row r="20" customFormat="false" ht="15" hidden="false" customHeight="false" outlineLevel="0" collapsed="false">
      <c r="A20" s="34" t="s">
        <v>58</v>
      </c>
      <c r="B20" s="35" t="n">
        <v>93</v>
      </c>
    </row>
    <row r="21" customFormat="false" ht="15" hidden="false" customHeight="false" outlineLevel="0" collapsed="false">
      <c r="A21" s="34" t="s">
        <v>60</v>
      </c>
      <c r="B21" s="35" t="n">
        <v>92</v>
      </c>
    </row>
  </sheetData>
  <mergeCells count="1">
    <mergeCell ref="A14:G14"/>
  </mergeCells>
  <conditionalFormatting sqref="G10">
    <cfRule type="cellIs" priority="2" operator="greaterThan" aboveAverage="0" equalAverage="0" bottom="0" percent="0" rank="0" text="" dxfId="3">
      <formula>G11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2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6"/>
  </cols>
  <sheetData>
    <row r="2" customFormat="false" ht="22.05" hidden="false" customHeight="false" outlineLevel="0" collapsed="false">
      <c r="B2" s="8" t="s">
        <v>64</v>
      </c>
    </row>
    <row r="3" customFormat="false" ht="15" hidden="false" customHeight="false" outlineLevel="0" collapsed="false">
      <c r="B3" s="9" t="s">
        <v>65</v>
      </c>
    </row>
    <row r="6" customFormat="false" ht="15" hidden="false" customHeight="false" outlineLevel="0" collapsed="false">
      <c r="A6" s="11" t="s">
        <v>66</v>
      </c>
      <c r="B6" s="28" t="n">
        <v>5000000</v>
      </c>
    </row>
    <row r="7" customFormat="false" ht="15" hidden="false" customHeight="false" outlineLevel="0" collapsed="false">
      <c r="A7" s="11" t="s">
        <v>67</v>
      </c>
      <c r="B7" s="28" t="n">
        <v>4200000</v>
      </c>
    </row>
    <row r="8" customFormat="false" ht="15" hidden="false" customHeight="false" outlineLevel="0" collapsed="false">
      <c r="A8" s="11" t="s">
        <v>68</v>
      </c>
      <c r="B8" s="31" t="n">
        <f aca="false">(B6-B7)/B6</f>
        <v>0.16</v>
      </c>
    </row>
    <row r="9" customFormat="false" ht="15" hidden="false" customHeight="false" outlineLevel="0" collapsed="false">
      <c r="A9" s="11" t="s">
        <v>69</v>
      </c>
      <c r="B9" s="28" t="n">
        <v>20000</v>
      </c>
    </row>
    <row r="10" customFormat="false" ht="15" hidden="false" customHeight="false" outlineLevel="0" collapsed="false">
      <c r="A10" s="11" t="s">
        <v>70</v>
      </c>
      <c r="B10" s="36" t="n">
        <v>0.1</v>
      </c>
    </row>
    <row r="11" customFormat="false" ht="15" hidden="false" customHeight="false" outlineLevel="0" collapsed="false">
      <c r="A11" s="11" t="s">
        <v>71</v>
      </c>
      <c r="B11" s="37" t="n">
        <f aca="false">B7+(B10*100*B9)</f>
        <v>4400000</v>
      </c>
    </row>
    <row r="12" customFormat="false" ht="15" hidden="false" customHeight="false" outlineLevel="0" collapsed="false">
      <c r="A12" s="11" t="s">
        <v>72</v>
      </c>
      <c r="B12" s="31" t="n">
        <f aca="false">(B6-B11)/B6</f>
        <v>0.12</v>
      </c>
    </row>
    <row r="13" customFormat="false" ht="15" hidden="false" customHeight="false" outlineLevel="0" collapsed="false">
      <c r="A13" s="11" t="s">
        <v>73</v>
      </c>
      <c r="B13" s="38" t="n">
        <f aca="false">(B8-B12)*100</f>
        <v>4</v>
      </c>
    </row>
    <row r="14" customFormat="false" ht="15" hidden="false" customHeight="false" outlineLevel="0" collapsed="false">
      <c r="A14" s="11" t="s">
        <v>74</v>
      </c>
      <c r="B14" s="37" t="n">
        <f aca="false">B11/(1-B8)</f>
        <v>5238095.23809524</v>
      </c>
    </row>
    <row r="15" customFormat="false" ht="15" hidden="false" customHeight="false" outlineLevel="0" collapsed="false">
      <c r="A15" s="11" t="s">
        <v>75</v>
      </c>
      <c r="B15" s="31" t="n">
        <f aca="false">IF(B14&lt;=B6,0,(B14-B6)/B6)</f>
        <v>0.0476190476190476</v>
      </c>
    </row>
    <row r="17" customFormat="false" ht="15" hidden="false" customHeight="false" outlineLevel="0" collapsed="false">
      <c r="A17" s="21" t="s">
        <v>76</v>
      </c>
    </row>
    <row r="18" customFormat="false" ht="30" hidden="false" customHeight="true" outlineLevel="0" collapsed="false">
      <c r="A18" s="39" t="str">
        <f aca="false">IF(B13&lt;1,"Bid remains healthy - no action needed.",IF(B13&lt;=3,"Monitor closely - consider a 2-3% contingency on remaining spend.","Increase bid price by "&amp;TEXT(B15,"0.0%")&amp;" to protect target margin."))</f>
        <v>Increase bid price by 4.8% to protect target margin.</v>
      </c>
      <c r="B18" s="39"/>
      <c r="C18" s="39"/>
      <c r="D18" s="39"/>
    </row>
    <row r="20" customFormat="false" ht="39.75" hidden="false" customHeight="true" outlineLevel="0" collapsed="false">
      <c r="A20" s="24" t="s">
        <v>77</v>
      </c>
      <c r="B20" s="24"/>
      <c r="C20" s="24"/>
      <c r="D20" s="24"/>
    </row>
  </sheetData>
  <mergeCells count="2">
    <mergeCell ref="A18:D18"/>
    <mergeCell ref="A20:D20"/>
  </mergeCells>
  <conditionalFormatting sqref="A18">
    <cfRule type="expression" priority="2" aboveAverage="0" equalAverage="0" bottom="0" percent="0" rank="0" text="" dxfId="4">
      <formula>$B$13&lt;1</formula>
    </cfRule>
    <cfRule type="expression" priority="3" aboveAverage="0" equalAverage="0" bottom="0" percent="0" rank="0" text="" dxfId="5">
      <formula>AND($B$13&gt;=1,$B$13&lt;=3)</formula>
    </cfRule>
    <cfRule type="expression" priority="4" aboveAverage="0" equalAverage="0" bottom="0" percent="0" rank="0" text="" dxfId="6">
      <formula>$B$13&gt;3</formula>
    </cfRule>
  </conditionalFormatting>
  <conditionalFormatting sqref="B12">
    <cfRule type="cellIs" priority="5" operator="lessThan" aboveAverage="0" equalAverage="0" bottom="0" percent="0" rank="0" text="" dxfId="3">
      <formula>0.13</formula>
    </cfRule>
    <cfRule type="expression" priority="6" aboveAverage="0" equalAverage="0" bottom="0" percent="0" rank="0" text="" dxfId="2">
      <formula>AND(B12&gt;=0.13,B12&lt;0.16)</formula>
    </cfRule>
    <cfRule type="expression" priority="7" aboveAverage="0" equalAverage="0" bottom="0" percent="0" rank="0" text="" dxfId="1">
      <formula>B12&gt;=0.16</formula>
    </cfRule>
  </conditionalFormatting>
  <dataValidations count="1">
    <dataValidation allowBlank="false" error="Enter a value between 0% and 30%." errorStyle="stop" errorTitle="Out of range" operator="between" showDropDown="false" showErrorMessage="true" showInputMessage="false" sqref="B10" type="decimal">
      <formula1>0</formula1>
      <formula2>0.3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D1C5"/>
    <pageSetUpPr fitToPage="false"/>
  </sheetPr>
  <dimension ref="A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5" style="0" width="14"/>
  </cols>
  <sheetData>
    <row r="2" customFormat="false" ht="22.05" hidden="false" customHeight="false" outlineLevel="0" collapsed="false">
      <c r="B2" s="8" t="s">
        <v>78</v>
      </c>
    </row>
    <row r="3" customFormat="false" ht="15" hidden="false" customHeight="false" outlineLevel="0" collapsed="false">
      <c r="B3" s="9" t="s">
        <v>79</v>
      </c>
    </row>
    <row r="5" customFormat="false" ht="15" hidden="false" customHeight="false" outlineLevel="0" collapsed="false">
      <c r="A5" s="26" t="s">
        <v>80</v>
      </c>
      <c r="B5" s="26" t="s">
        <v>81</v>
      </c>
      <c r="C5" s="26" t="s">
        <v>82</v>
      </c>
    </row>
    <row r="6" customFormat="false" ht="15" hidden="false" customHeight="false" outlineLevel="0" collapsed="false">
      <c r="A6" s="34" t="s">
        <v>83</v>
      </c>
      <c r="B6" s="40" t="n">
        <v>102.1</v>
      </c>
      <c r="C6" s="40" t="n">
        <v>103</v>
      </c>
    </row>
    <row r="7" customFormat="false" ht="15" hidden="false" customHeight="false" outlineLevel="0" collapsed="false">
      <c r="A7" s="34" t="s">
        <v>84</v>
      </c>
      <c r="B7" s="40" t="n">
        <v>102.8</v>
      </c>
      <c r="C7" s="40" t="n">
        <v>104.1</v>
      </c>
    </row>
    <row r="8" customFormat="false" ht="15" hidden="false" customHeight="false" outlineLevel="0" collapsed="false">
      <c r="A8" s="34" t="s">
        <v>85</v>
      </c>
      <c r="B8" s="40" t="n">
        <v>103.5</v>
      </c>
      <c r="C8" s="40" t="n">
        <v>105</v>
      </c>
    </row>
    <row r="9" customFormat="false" ht="15" hidden="false" customHeight="false" outlineLevel="0" collapsed="false">
      <c r="A9" s="34" t="s">
        <v>86</v>
      </c>
      <c r="B9" s="40" t="n">
        <v>104</v>
      </c>
      <c r="C9" s="40" t="n">
        <v>106.5</v>
      </c>
    </row>
    <row r="11" customFormat="false" ht="27.75" hidden="false" customHeight="true" outlineLevel="0" collapsed="false">
      <c r="A11" s="41" t="s">
        <v>87</v>
      </c>
      <c r="B11" s="41"/>
      <c r="C11" s="41"/>
      <c r="D11" s="41"/>
      <c r="E11" s="41"/>
    </row>
    <row r="14" customFormat="false" ht="15" hidden="false" customHeight="false" outlineLevel="0" collapsed="false">
      <c r="A14" s="26" t="s">
        <v>88</v>
      </c>
      <c r="B14" s="26" t="s">
        <v>89</v>
      </c>
    </row>
    <row r="15" customFormat="false" ht="15" hidden="false" customHeight="false" outlineLevel="0" collapsed="false">
      <c r="A15" s="11" t="s">
        <v>90</v>
      </c>
      <c r="B15" s="32" t="n">
        <v>0.168</v>
      </c>
    </row>
    <row r="16" customFormat="false" ht="15" hidden="false" customHeight="false" outlineLevel="0" collapsed="false">
      <c r="A16" s="11" t="s">
        <v>91</v>
      </c>
      <c r="B16" s="32" t="n">
        <v>0.147</v>
      </c>
    </row>
    <row r="17" customFormat="false" ht="15" hidden="false" customHeight="false" outlineLevel="0" collapsed="false">
      <c r="A17" s="11" t="s">
        <v>92</v>
      </c>
      <c r="B17" s="32" t="n">
        <v>0.061</v>
      </c>
    </row>
    <row r="18" customFormat="false" ht="15" hidden="false" customHeight="false" outlineLevel="0" collapsed="false">
      <c r="A18" s="11" t="s">
        <v>93</v>
      </c>
      <c r="B18" s="32" t="n">
        <v>0.043</v>
      </c>
    </row>
    <row r="19" customFormat="false" ht="15" hidden="false" customHeight="false" outlineLevel="0" collapsed="false">
      <c r="A19" s="11" t="s">
        <v>94</v>
      </c>
      <c r="B19" s="32" t="n">
        <v>0.03</v>
      </c>
    </row>
    <row r="21" customFormat="false" ht="27.75" hidden="false" customHeight="true" outlineLevel="0" collapsed="false">
      <c r="A21" s="41" t="s">
        <v>95</v>
      </c>
      <c r="B21" s="41"/>
      <c r="C21" s="41"/>
      <c r="D21" s="41"/>
      <c r="E21" s="41"/>
    </row>
  </sheetData>
  <mergeCells count="2">
    <mergeCell ref="A11:E11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A90"/>
    <pageSetUpPr fitToPage="false"/>
  </sheetPr>
  <dimension ref="A2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5"/>
  </cols>
  <sheetData>
    <row r="2" customFormat="false" ht="22.05" hidden="false" customHeight="false" outlineLevel="0" collapsed="false">
      <c r="B2" s="8" t="s">
        <v>96</v>
      </c>
    </row>
    <row r="3" customFormat="false" ht="15" hidden="false" customHeight="false" outlineLevel="0" collapsed="false">
      <c r="B3" s="9" t="s">
        <v>97</v>
      </c>
    </row>
    <row r="5" customFormat="false" ht="19.5" hidden="false" customHeight="true" outlineLevel="0" collapsed="false">
      <c r="A5" s="42" t="s">
        <v>98</v>
      </c>
    </row>
    <row r="6" customFormat="false" ht="30" hidden="false" customHeight="true" outlineLevel="0" collapsed="false">
      <c r="A6" s="43" t="s">
        <v>99</v>
      </c>
      <c r="B6" s="44" t="s">
        <v>100</v>
      </c>
    </row>
    <row r="7" customFormat="false" ht="30" hidden="false" customHeight="true" outlineLevel="0" collapsed="false">
      <c r="A7" s="43" t="s">
        <v>99</v>
      </c>
      <c r="B7" s="44" t="s">
        <v>101</v>
      </c>
    </row>
    <row r="8" customFormat="false" ht="19.5" hidden="false" customHeight="true" outlineLevel="0" collapsed="false">
      <c r="A8" s="43"/>
      <c r="B8" s="44"/>
    </row>
    <row r="9" customFormat="false" ht="19.5" hidden="false" customHeight="true" outlineLevel="0" collapsed="false">
      <c r="A9" s="42" t="s">
        <v>102</v>
      </c>
    </row>
    <row r="10" customFormat="false" ht="30" hidden="false" customHeight="true" outlineLevel="0" collapsed="false">
      <c r="A10" s="43" t="s">
        <v>8</v>
      </c>
      <c r="B10" s="44" t="s">
        <v>103</v>
      </c>
    </row>
    <row r="11" customFormat="false" ht="30" hidden="false" customHeight="true" outlineLevel="0" collapsed="false">
      <c r="A11" s="43" t="s">
        <v>104</v>
      </c>
      <c r="B11" s="44" t="s">
        <v>105</v>
      </c>
    </row>
    <row r="12" customFormat="false" ht="30" hidden="false" customHeight="true" outlineLevel="0" collapsed="false">
      <c r="A12" s="43" t="s">
        <v>106</v>
      </c>
      <c r="B12" s="44" t="s">
        <v>107</v>
      </c>
    </row>
    <row r="13" customFormat="false" ht="30" hidden="false" customHeight="true" outlineLevel="0" collapsed="false">
      <c r="A13" s="43" t="s">
        <v>108</v>
      </c>
      <c r="B13" s="44" t="s">
        <v>109</v>
      </c>
    </row>
    <row r="14" customFormat="false" ht="19.5" hidden="false" customHeight="true" outlineLevel="0" collapsed="false">
      <c r="A14" s="43"/>
      <c r="B14" s="44"/>
    </row>
    <row r="15" customFormat="false" ht="19.5" hidden="false" customHeight="true" outlineLevel="0" collapsed="false">
      <c r="A15" s="42" t="s">
        <v>110</v>
      </c>
    </row>
    <row r="16" customFormat="false" ht="30" hidden="false" customHeight="true" outlineLevel="0" collapsed="false">
      <c r="A16" s="43" t="s">
        <v>111</v>
      </c>
      <c r="B16" s="44" t="s">
        <v>112</v>
      </c>
    </row>
    <row r="17" customFormat="false" ht="30" hidden="false" customHeight="true" outlineLevel="0" collapsed="false">
      <c r="A17" s="43" t="s">
        <v>108</v>
      </c>
      <c r="B17" s="44" t="s">
        <v>113</v>
      </c>
    </row>
    <row r="18" customFormat="false" ht="30" hidden="false" customHeight="true" outlineLevel="0" collapsed="false">
      <c r="A18" s="43" t="s">
        <v>114</v>
      </c>
      <c r="B18" s="44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2026-07-30T18:01:25Z</dcterms:created>
  <dc:creator>openpyxl</dc:creator>
  <dc:description/>
  <dc:language>en-US</dc:language>
  <cp:lastModifiedBy/>
  <dcterms:modified xsi:type="dcterms:W3CDTF">2026-07-30T18:01:28Z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